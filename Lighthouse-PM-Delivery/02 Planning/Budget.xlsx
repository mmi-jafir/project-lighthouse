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<sst xmlns="http://schemas.openxmlformats.org/spreadsheetml/2006/main" count="24" uniqueCount="24">
  <si>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Project Lighthouse — Approved Budget</t>
  </si>
  <si>
    <t xml:space="preserve">Knowledge Infrastructure Workstream | Solstice Advisory (fictional) | All figures simulated</t>
  </si>
  <si>
    <t xml:space="preserve">Category</t>
  </si>
  <si>
    <t xml:space="preserve">Budget (EUR)</t>
  </si>
  <si>
    <t xml:space="preserve">% of Total</t>
  </si>
  <si>
    <t xml:space="preserve">Notes</t>
  </si>
  <si>
    <t xml:space="preserve">Platform Licenses</t>
  </si>
  <si>
    <t xml:space="preserve">Knowledge platform, search, and AI/RAG tooling licenses</t>
  </si>
  <si>
    <t xml:space="preserve">Implementation</t>
  </si>
  <si>
    <t xml:space="preserve">Configuration, integration build, and vendor implementation services</t>
  </si>
  <si>
    <t xml:space="preserve">Migration</t>
  </si>
  <si>
    <t xml:space="preserve">Content audit, cleanup, and wave-based migration effort</t>
  </si>
  <si>
    <t xml:space="preserve">Integration</t>
  </si>
  <si>
    <t xml:space="preserve">Integration with identity, access management, and existing systems</t>
  </si>
  <si>
    <t xml:space="preserve">AI / Search</t>
  </si>
  <si>
    <t xml:space="preserve">Semantic search and AI/RAG layer development</t>
  </si>
  <si>
    <t xml:space="preserve">Training</t>
  </si>
  <si>
    <t xml:space="preserve">Training materials, sessions, and champion network enablement</t>
  </si>
  <si>
    <t xml:space="preserve">Change Management</t>
  </si>
  <si>
    <t xml:space="preserve">Communications, adoption campaigns, and incentive design support</t>
  </si>
  <si>
    <t xml:space="preserve">Contingency</t>
  </si>
  <si>
    <t xml:space="preserve">Reserve for unforeseen scope or complexity (see Decisions log)</t>
  </si>
  <si>
    <t xml:space="preserve">Total</t>
  </si>
  <si>
    <t xml:space="preserve">Assumptions: Budget figures are simulated for portfolio purposes. Contingency is 4% of total budget, reflecting a moderate-risk program.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</si>
</sst>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€#,##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180000</v>
      </c>
      <c r="C5" s="6" t="n">
        <f aca="false">B5/$B$13</f>
        <v>0.24</v>
      </c>
      <c r="D5" s="4" t="s">
        <v>7</v>
      </c>
    </row>
    <row r="6" customFormat="false" ht="15" hidden="false" customHeight="false" outlineLevel="0" collapsed="false">
      <c r="A6" s="4" t="s">
        <v>8</v>
      </c>
      <c r="B6" s="5" t="n">
        <v>200000</v>
      </c>
      <c r="C6" s="6" t="n">
        <f aca="false">B6/$B$13</f>
        <v>0.266666666666667</v>
      </c>
      <c r="D6" s="4" t="s">
        <v>9</v>
      </c>
    </row>
    <row r="7" customFormat="false" ht="15" hidden="false" customHeight="false" outlineLevel="0" collapsed="false">
      <c r="A7" s="4" t="s">
        <v>10</v>
      </c>
      <c r="B7" s="5" t="n">
        <v>120000</v>
      </c>
      <c r="C7" s="6" t="n">
        <f aca="false">B7/$B$13</f>
        <v>0.16</v>
      </c>
      <c r="D7" s="4" t="s">
        <v>11</v>
      </c>
    </row>
    <row r="8" customFormat="false" ht="15" hidden="false" customHeight="false" outlineLevel="0" collapsed="false">
      <c r="A8" s="4" t="s">
        <v>12</v>
      </c>
      <c r="B8" s="5" t="n">
        <v>80000</v>
      </c>
      <c r="C8" s="6" t="n">
        <f aca="false">B8/$B$13</f>
        <v>0.106666666666667</v>
      </c>
      <c r="D8" s="4" t="s">
        <v>13</v>
      </c>
    </row>
    <row r="9" customFormat="false" ht="15" hidden="false" customHeight="false" outlineLevel="0" collapsed="false">
      <c r="A9" s="4" t="s">
        <v>14</v>
      </c>
      <c r="B9" s="5" t="n">
        <v>70000</v>
      </c>
      <c r="C9" s="6" t="n">
        <f aca="false">B9/$B$13</f>
        <v>0.0933333333333333</v>
      </c>
      <c r="D9" s="4" t="s">
        <v>15</v>
      </c>
    </row>
    <row r="10" customFormat="false" ht="15" hidden="false" customHeight="false" outlineLevel="0" collapsed="false">
      <c r="A10" s="4" t="s">
        <v>16</v>
      </c>
      <c r="B10" s="5" t="n">
        <v>40000</v>
      </c>
      <c r="C10" s="6" t="n">
        <f aca="false">B10/$B$13</f>
        <v>0.0533333333333333</v>
      </c>
      <c r="D10" s="4" t="s">
        <v>17</v>
      </c>
    </row>
    <row r="11" customFormat="false" ht="15" hidden="false" customHeight="false" outlineLevel="0" collapsed="false">
      <c r="A11" s="4" t="s">
        <v>18</v>
      </c>
      <c r="B11" s="5" t="n">
        <v>30000</v>
      </c>
      <c r="C11" s="6" t="n">
        <f aca="false">B11/$B$13</f>
        <v>0.04</v>
      </c>
      <c r="D11" s="4" t="s">
        <v>19</v>
      </c>
    </row>
    <row r="12" customFormat="false" ht="15" hidden="false" customHeight="false" outlineLevel="0" collapsed="false">
      <c r="A12" s="4" t="s">
        <v>20</v>
      </c>
      <c r="B12" s="5" t="n">
        <v>30000</v>
      </c>
      <c r="C12" s="6" t="n">
        <f aca="false">B12/$B$13</f>
        <v>0.04</v>
      </c>
      <c r="D12" s="4" t="s">
        <v>21</v>
      </c>
    </row>
    <row r="13" customFormat="false" ht="15" hidden="false" customHeight="false" outlineLevel="0" collapsed="false">
      <c r="A13" s="7" t="s">
        <v>22</v>
      </c>
      <c r="B13" s="8" t="n">
        <f aca="false">SUM(B5:B12)</f>
        <v>750000</v>
      </c>
      <c r="C13" s="9" t="n">
        <f aca="false">B13/$B$13</f>
        <v>1</v>
      </c>
      <c r="D13" s="10"/>
    </row>
    <row r="15" customFormat="false" ht="15" hidden="false" customHeight="false" outlineLevel="0" collapsed="false">
      <c r="A15" s="11" t="s">
        <v>23</v>
      </c>
      <c r="B15" s="11"/>
      <c r="C15" s="11"/>
      <c r="D15" s="11"/>
    </row>
  </sheetData>
  <mergeCells count="3">
    <mergeCell ref="A1:D1"/>
    <mergeCell ref="A2:D2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2026-09-02T14:25:58Z</dcterms:created>
  <dc:creator>openpyxl</dc:creator>
  <dc:description/>
  <dc:language>en-US</dc:language>
  <cp:lastModifiedBy/>
  <dcterms:modified xsi:type="dcterms:W3CDTF">2026-09-02T14:25:58Z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