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vs Act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<sst xmlns="http://schemas.openxmlformats.org/spreadsheetml/2006/main" count="25" uniqueCount="25">
  <si>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Budget vs. Actual — As of Month 13</t>
  </si>
  <si>
    <t xml:space="preserve">Project Lighthouse — Knowledge Infrastructure Workstream | Solstice Advisory (fictional) | All figures simulated</t>
  </si>
  <si>
    <t xml:space="preserve">Category</t>
  </si>
  <si>
    <t xml:space="preserve">Baseline Budget (EUR)</t>
  </si>
  <si>
    <t xml:space="preserve">Actual Spend To Date (EUR)</t>
  </si>
  <si>
    <t xml:space="preserve">Variance (EUR)</t>
  </si>
  <si>
    <t xml:space="preserve">Variance %</t>
  </si>
  <si>
    <t xml:space="preserve">Notes</t>
  </si>
  <si>
    <t xml:space="preserve">Platform Licenses</t>
  </si>
  <si>
    <t xml:space="preserve">Slightly under; final license tier confirmed lower than estimated</t>
  </si>
  <si>
    <t xml:space="preserve">Implementation</t>
  </si>
  <si>
    <t xml:space="preserve">On track; Wave 3 implementation work remaining</t>
  </si>
  <si>
    <t xml:space="preserve">Migration</t>
  </si>
  <si>
    <t xml:space="preserve">Over baseline — see Decision 001 (contingency draw applied)</t>
  </si>
  <si>
    <t xml:space="preserve">Integration</t>
  </si>
  <si>
    <t xml:space="preserve">On track</t>
  </si>
  <si>
    <t xml:space="preserve">AI / Search</t>
  </si>
  <si>
    <t xml:space="preserve">On track; Sprint 5-6 retuning work within budget</t>
  </si>
  <si>
    <t xml:space="preserve">Training</t>
  </si>
  <si>
    <t xml:space="preserve">Under; regional training for Americas and APAC not yet delivered</t>
  </si>
  <si>
    <t xml:space="preserve">Change Management</t>
  </si>
  <si>
    <t xml:space="preserve">Under; adoption campaigns ramp up closer to go-live</t>
  </si>
  <si>
    <t xml:space="preserve">Contingency</t>
  </si>
  <si>
    <t xml:space="preserve">€15,000 drawn per Decision 001; €15,000 remaining reserve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</si>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</sst>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"/>
    <numFmt numFmtId="166" formatCode="\€#,##0;&quot;(€&quot;#,##0\)"/>
    <numFmt numFmtId="167" formatCode="0.0%;\(0.0%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rgb="FFF8CBAD"/>
        <bgColor rgb="FFC6E0B4"/>
      </patternFill>
    </fill>
    <fill>
      <patternFill patternType="solid">
        <fgColor rgb="FFD9E2F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n">
        <v>180000</v>
      </c>
      <c r="C5" s="5" t="n">
        <v>175000</v>
      </c>
      <c r="D5" s="6" t="n">
        <f aca="false">C5-B5</f>
        <v>-5000</v>
      </c>
      <c r="E5" s="7" t="n">
        <f aca="false">C5/B5-1</f>
        <v>-0.0277777777777778</v>
      </c>
      <c r="F5" s="4" t="s">
        <v>9</v>
      </c>
    </row>
    <row r="6" customFormat="false" ht="15" hidden="false" customHeight="false" outlineLevel="0" collapsed="false">
      <c r="A6" s="4" t="s">
        <v>10</v>
      </c>
      <c r="B6" s="5" t="n">
        <v>200000</v>
      </c>
      <c r="C6" s="5" t="n">
        <v>188000</v>
      </c>
      <c r="D6" s="6" t="n">
        <f aca="false">C6-B6</f>
        <v>-12000</v>
      </c>
      <c r="E6" s="7" t="n">
        <f aca="false">C6/B6-1</f>
        <v>-0.0600000000000001</v>
      </c>
      <c r="F6" s="4" t="s">
        <v>11</v>
      </c>
    </row>
    <row r="7" customFormat="false" ht="23.85" hidden="false" customHeight="false" outlineLevel="0" collapsed="false">
      <c r="A7" s="4" t="s">
        <v>12</v>
      </c>
      <c r="B7" s="5" t="n">
        <v>120000</v>
      </c>
      <c r="C7" s="5" t="n">
        <v>132000</v>
      </c>
      <c r="D7" s="8" t="n">
        <f aca="false">C7-B7</f>
        <v>12000</v>
      </c>
      <c r="E7" s="7" t="n">
        <f aca="false">C7/B7-1</f>
        <v>0.1</v>
      </c>
      <c r="F7" s="4" t="s">
        <v>13</v>
      </c>
    </row>
    <row r="8" customFormat="false" ht="15" hidden="false" customHeight="false" outlineLevel="0" collapsed="false">
      <c r="A8" s="4" t="s">
        <v>14</v>
      </c>
      <c r="B8" s="5" t="n">
        <v>80000</v>
      </c>
      <c r="C8" s="5" t="n">
        <v>74000</v>
      </c>
      <c r="D8" s="6" t="n">
        <f aca="false">C8-B8</f>
        <v>-6000</v>
      </c>
      <c r="E8" s="7" t="n">
        <f aca="false">C8/B8-1</f>
        <v>-0.075</v>
      </c>
      <c r="F8" s="4" t="s">
        <v>15</v>
      </c>
    </row>
    <row r="9" customFormat="false" ht="15" hidden="false" customHeight="false" outlineLevel="0" collapsed="false">
      <c r="A9" s="4" t="s">
        <v>16</v>
      </c>
      <c r="B9" s="5" t="n">
        <v>70000</v>
      </c>
      <c r="C9" s="5" t="n">
        <v>61000</v>
      </c>
      <c r="D9" s="6" t="n">
        <f aca="false">C9-B9</f>
        <v>-9000</v>
      </c>
      <c r="E9" s="7" t="n">
        <f aca="false">C9/B9-1</f>
        <v>-0.128571428571429</v>
      </c>
      <c r="F9" s="4" t="s">
        <v>17</v>
      </c>
    </row>
    <row r="10" customFormat="false" ht="23.85" hidden="false" customHeight="false" outlineLevel="0" collapsed="false">
      <c r="A10" s="4" t="s">
        <v>18</v>
      </c>
      <c r="B10" s="5" t="n">
        <v>40000</v>
      </c>
      <c r="C10" s="5" t="n">
        <v>22000</v>
      </c>
      <c r="D10" s="6" t="n">
        <f aca="false">C10-B10</f>
        <v>-18000</v>
      </c>
      <c r="E10" s="7" t="n">
        <f aca="false">C10/B10-1</f>
        <v>-0.45</v>
      </c>
      <c r="F10" s="4" t="s">
        <v>19</v>
      </c>
    </row>
    <row r="11" customFormat="false" ht="15" hidden="false" customHeight="false" outlineLevel="0" collapsed="false">
      <c r="A11" s="4" t="s">
        <v>20</v>
      </c>
      <c r="B11" s="5" t="n">
        <v>30000</v>
      </c>
      <c r="C11" s="5" t="n">
        <v>19000</v>
      </c>
      <c r="D11" s="6" t="n">
        <f aca="false">C11-B11</f>
        <v>-11000</v>
      </c>
      <c r="E11" s="7" t="n">
        <f aca="false">C11/B11-1</f>
        <v>-0.366666666666667</v>
      </c>
      <c r="F11" s="4" t="s">
        <v>21</v>
      </c>
    </row>
    <row r="12" customFormat="false" ht="23.85" hidden="false" customHeight="false" outlineLevel="0" collapsed="false">
      <c r="A12" s="4" t="s">
        <v>22</v>
      </c>
      <c r="B12" s="5" t="n">
        <v>30000</v>
      </c>
      <c r="C12" s="5" t="n">
        <v>15000</v>
      </c>
      <c r="D12" s="6" t="n">
        <f aca="false">C12-B12</f>
        <v>-15000</v>
      </c>
      <c r="E12" s="7" t="n">
        <f aca="false">C12/B12-1</f>
        <v>-0.5</v>
      </c>
      <c r="F12" s="4" t="s">
        <v>23</v>
      </c>
    </row>
    <row r="13" customFormat="false" ht="15" hidden="false" customHeight="false" outlineLevel="0" collapsed="false">
      <c r="A13" s="9" t="s">
        <v>24</v>
      </c>
      <c r="B13" s="10" t="n">
        <f aca="false">SUM(B5:B12)</f>
        <v>750000</v>
      </c>
      <c r="C13" s="10" t="n">
        <f aca="false">SUM(C5:C12)</f>
        <v>686000</v>
      </c>
      <c r="D13" s="11" t="n">
        <f aca="false">C13-B13</f>
        <v>-64000</v>
      </c>
      <c r="E13" s="12" t="n">
        <f aca="false">C13/B13-1</f>
        <v>-0.0853333333333334</v>
      </c>
      <c r="F1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2026-09-02T14:50:56Z</dcterms:created>
  <dc:creator>openpyxl</dc:creator>
  <dc:description/>
  <dc:language>en-US</dc:language>
  <cp:lastModifiedBy/>
  <dcterms:modified xsi:type="dcterms:W3CDTF">2026-09-02T14:50:56Z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