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efits Realiz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<sst xmlns="http://schemas.openxmlformats.org/spreadsheetml/2006/main" count="58" uniqueCount="49">
  <si>
    <t xml:space="preserve">Benefits Realization — Program Close</t>
  </si>
  <si>
    <t xml:space="preserve">Project Lighthouse — Knowledge Infrastructure Program | Solstice Advisory (fictional) | All figures simulated</t>
  </si>
  <si>
    <t xml:space="preserve">KPI</t>
  </si>
  <si>
    <t xml:space="preserve">Baseline</t>
  </si>
  <si>
    <t xml:space="preserve">Target</t>
  </si>
  <si>
    <t xml:space="preserve">Actual (at Close)</t>
  </si>
  <si>
    <t xml:space="preserve">Status</t>
  </si>
  <si>
    <t xml:space="preserve">Notes</t>
  </si>
  <si>
    <t xml:space="preserve">Documents with owner</t>
  </si>
  <si>
    <t xml:space="preserve">42%</t>
  </si>
  <si>
    <t xml:space="preserve">95%</t>
  </si>
  <si>
    <t xml:space="preserve">94%</t>
  </si>
  <si>
    <t xml:space="preserve">Partially Met</t>
  </si>
  <si>
    <t xml:space="preserve">Just under target; remaining gap in APAC long-tail content</t>
  </si>
  <si>
    <t xml:space="preserve">Documents with metadata</t>
  </si>
  <si>
    <t xml:space="preserve">35%</t>
  </si>
  <si>
    <t xml:space="preserve">90%</t>
  </si>
  <si>
    <t xml:space="preserve">91%</t>
  </si>
  <si>
    <t xml:space="preserve">Met</t>
  </si>
  <si>
    <t xml:space="preserve">Content reviewed</t>
  </si>
  <si>
    <t xml:space="preserve">28%</t>
  </si>
  <si>
    <t xml:space="preserve">88%</t>
  </si>
  <si>
    <t xml:space="preserve">Slight shortfall; ongoing via Stale Content Alerts automation</t>
  </si>
  <si>
    <t xml:space="preserve">Duplicate content</t>
  </si>
  <si>
    <t xml:space="preserve">31%</t>
  </si>
  <si>
    <t xml:space="preserve">&lt;10%</t>
  </si>
  <si>
    <t xml:space="preserve">9%</t>
  </si>
  <si>
    <t xml:space="preserve">Search success rate</t>
  </si>
  <si>
    <t xml:space="preserve">54%</t>
  </si>
  <si>
    <t xml:space="preserve">85%</t>
  </si>
  <si>
    <t xml:space="preserve">86%</t>
  </si>
  <si>
    <t xml:space="preserve">Achieved after Sprint 5-6 retuning</t>
  </si>
  <si>
    <t xml:space="preserve">AI-answer grounding accuracy</t>
  </si>
  <si>
    <t xml:space="preserve">—</t>
  </si>
  <si>
    <t xml:space="preserve">96%</t>
  </si>
  <si>
    <t xml:space="preserve">Achieved prior to full AI assistant release</t>
  </si>
  <si>
    <t xml:space="preserve">Active usage (3 months post-launch)</t>
  </si>
  <si>
    <t xml:space="preserve">70%</t>
  </si>
  <si>
    <t xml:space="preserve">74%</t>
  </si>
  <si>
    <t xml:space="preserve">EMEA and Americas combined; APAC still ramping</t>
  </si>
  <si>
    <t xml:space="preserve">Financial Benefit Summary</t>
  </si>
  <si>
    <t xml:space="preserve">Item</t>
  </si>
  <si>
    <t xml:space="preserve">Amount (EUR)</t>
  </si>
  <si>
    <t xml:space="preserve">Total Program Investment</t>
  </si>
  <si>
    <t xml:space="preserve">Full approved budget</t>
  </si>
  <si>
    <t xml:space="preserve">Estimated Annual Productivity Benefit</t>
  </si>
  <si>
    <t xml:space="preserve">Based on 20% search efficiency improvement across consultant base</t>
  </si>
  <si>
    <t xml:space="preserve">Net Year-1 Value (Benefit less Investment)</t>
  </si>
  <si>
    <t xml:space="preserve">All figures are simulated/estimated for portfolio purposes. Actual productivity benefit realization would be measured over the 12 months following full rollout.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</si>
</sst>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;&quot;(€&quot;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D9E2F3"/>
      </patternFill>
    </fill>
    <fill>
      <patternFill patternType="solid">
        <fgColor rgb="FFD9E2F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2"/>
    <col collapsed="false" customWidth="true" hidden="false" outlineLevel="0" max="5" min="4" style="1" width="16"/>
    <col collapsed="false" customWidth="true" hidden="false" outlineLevel="0" max="6" min="6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3.25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6" t="s">
        <v>12</v>
      </c>
      <c r="F5" s="5" t="s">
        <v>13</v>
      </c>
    </row>
    <row r="6" customFormat="false" ht="15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7" t="s">
        <v>18</v>
      </c>
      <c r="F6" s="5"/>
    </row>
    <row r="7" customFormat="false" ht="23.25" hidden="false" customHeight="true" outlineLevel="0" collapsed="false">
      <c r="A7" s="5" t="s">
        <v>19</v>
      </c>
      <c r="B7" s="5" t="s">
        <v>20</v>
      </c>
      <c r="C7" s="5" t="s">
        <v>16</v>
      </c>
      <c r="D7" s="5" t="s">
        <v>21</v>
      </c>
      <c r="E7" s="6" t="s">
        <v>12</v>
      </c>
      <c r="F7" s="5" t="s">
        <v>22</v>
      </c>
    </row>
    <row r="8" customFormat="false" ht="15" hidden="false" customHeight="true" outlineLevel="0" collapsed="false">
      <c r="A8" s="5" t="s">
        <v>23</v>
      </c>
      <c r="B8" s="5" t="s">
        <v>24</v>
      </c>
      <c r="C8" s="5" t="s">
        <v>25</v>
      </c>
      <c r="D8" s="5" t="s">
        <v>26</v>
      </c>
      <c r="E8" s="7" t="s">
        <v>18</v>
      </c>
      <c r="F8" s="5"/>
    </row>
    <row r="9" customFormat="false" ht="15" hidden="false" customHeight="true" outlineLevel="0" collapsed="false">
      <c r="A9" s="5" t="s">
        <v>27</v>
      </c>
      <c r="B9" s="5" t="s">
        <v>28</v>
      </c>
      <c r="C9" s="5" t="s">
        <v>29</v>
      </c>
      <c r="D9" s="5" t="s">
        <v>30</v>
      </c>
      <c r="E9" s="7" t="s">
        <v>18</v>
      </c>
      <c r="F9" s="5" t="s">
        <v>31</v>
      </c>
    </row>
    <row r="10" customFormat="false" ht="15" hidden="false" customHeight="true" outlineLevel="0" collapsed="false">
      <c r="A10" s="5" t="s">
        <v>32</v>
      </c>
      <c r="B10" s="5" t="s">
        <v>33</v>
      </c>
      <c r="C10" s="5" t="s">
        <v>10</v>
      </c>
      <c r="D10" s="5" t="s">
        <v>34</v>
      </c>
      <c r="E10" s="7" t="s">
        <v>18</v>
      </c>
      <c r="F10" s="5" t="s">
        <v>35</v>
      </c>
    </row>
    <row r="11" customFormat="false" ht="15" hidden="false" customHeight="true" outlineLevel="0" collapsed="false">
      <c r="A11" s="5" t="s">
        <v>36</v>
      </c>
      <c r="B11" s="5" t="s">
        <v>33</v>
      </c>
      <c r="C11" s="5" t="s">
        <v>37</v>
      </c>
      <c r="D11" s="5" t="s">
        <v>38</v>
      </c>
      <c r="E11" s="7" t="s">
        <v>18</v>
      </c>
      <c r="F11" s="5" t="s">
        <v>39</v>
      </c>
    </row>
    <row r="14" customFormat="false" ht="15" hidden="false" customHeight="true" outlineLevel="0" collapsed="false">
      <c r="A14" s="8" t="s">
        <v>40</v>
      </c>
      <c r="B14" s="8"/>
      <c r="C14" s="8"/>
      <c r="D14" s="8"/>
      <c r="E14" s="8"/>
      <c r="F14" s="8"/>
    </row>
    <row r="15" customFormat="false" ht="15" hidden="false" customHeight="true" outlineLevel="0" collapsed="false">
      <c r="A15" s="9" t="s">
        <v>41</v>
      </c>
      <c r="B15" s="9" t="s">
        <v>42</v>
      </c>
      <c r="C15" s="9" t="s">
        <v>7</v>
      </c>
    </row>
    <row r="16" customFormat="false" ht="23.25" hidden="false" customHeight="true" outlineLevel="0" collapsed="false">
      <c r="A16" s="5" t="s">
        <v>43</v>
      </c>
      <c r="B16" s="10" t="n">
        <v>-750000</v>
      </c>
      <c r="C16" s="5" t="s">
        <v>44</v>
      </c>
    </row>
    <row r="17" customFormat="false" ht="79.5" hidden="false" customHeight="true" outlineLevel="0" collapsed="false">
      <c r="A17" s="5" t="s">
        <v>45</v>
      </c>
      <c r="B17" s="10" t="n">
        <v>1200000</v>
      </c>
      <c r="C17" s="5" t="s">
        <v>46</v>
      </c>
    </row>
    <row r="18" customFormat="false" ht="15" hidden="false" customHeight="true" outlineLevel="0" collapsed="false">
      <c r="A18" s="11" t="s">
        <v>47</v>
      </c>
      <c r="B18" s="12" t="n">
        <f aca="false">SUM(B16:B17)</f>
        <v>450000</v>
      </c>
      <c r="C18" s="13"/>
    </row>
    <row r="20" customFormat="false" ht="15" hidden="false" customHeight="true" outlineLevel="0" collapsed="false">
      <c r="A20" s="14" t="s">
        <v>48</v>
      </c>
      <c r="B20" s="14"/>
      <c r="C20" s="14"/>
      <c r="D20" s="14"/>
      <c r="E20" s="14"/>
      <c r="F20" s="14"/>
    </row>
  </sheetData>
  <mergeCells count="2">
    <mergeCell ref="A14:F14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2026-09-02T14:56:19Z</dcterms:created>
  <dc:creator>openpyxl</dc:creator>
  <dc:description/>
  <dc:language>en-US</dc:language>
  <cp:lastModifiedBy/>
  <dcterms:modified xsi:type="dcterms:W3CDTF">2026-09-02T15:21:11Z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